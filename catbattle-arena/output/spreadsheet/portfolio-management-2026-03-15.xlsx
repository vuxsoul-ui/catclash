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Options" sheetId="3" state="visible" r:id="rId3"/>
    <sheet name="Trade Ladder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$#,##0.00;[Red]($#,##0.00);-"/>
    <numFmt numFmtId="166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Phase 1 keeps ONDS at or above 300 shares because the account has 3 short covered calls outstanding.</t>
      </text>
    </comment>
    <comment ref="B6" authorId="0" shapeId="0">
      <text>
        <t>Phase 2 applies after the ONDS covered calls are closed, rolled, or expire.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Portfolio Management Plan</t>
        </is>
      </c>
      <c r="B1" s="2" t="n"/>
    </row>
    <row r="2">
      <c r="A2" s="3" t="inlineStr">
        <is>
          <t>PFFK | As of Friday, March 13, 2026 U.S. market close</t>
        </is>
      </c>
      <c r="B2" s="2" t="n"/>
    </row>
    <row r="3">
      <c r="A3" s="2" t="n"/>
      <c r="B3" s="2" t="n"/>
    </row>
    <row r="4">
      <c r="A4" s="2" t="inlineStr">
        <is>
          <t>Goal</t>
        </is>
      </c>
      <c r="B4" s="2" t="inlineStr">
        <is>
          <t>Maximize upside while reducing concentration risk and preserving covered-call flexibility.</t>
        </is>
      </c>
    </row>
    <row r="5">
      <c r="A5" s="2" t="inlineStr">
        <is>
          <t>Recommended mix while ONDS calls remain open</t>
        </is>
      </c>
      <c r="B5" s="2" t="inlineStr">
        <is>
          <t>VOO 30% | NVDA 38% | ONDS 22% minimum | SLS 0% | Cash 10%</t>
        </is>
      </c>
    </row>
    <row r="6">
      <c r="A6" s="2" t="inlineStr">
        <is>
          <t>Recommended mix after ONDS calls are closed/expire</t>
        </is>
      </c>
      <c r="B6" s="2" t="inlineStr">
        <is>
          <t>VOO 32% | NVDA 40% | ONDS 18% | SLS 0% | Cash 10%</t>
        </is>
      </c>
    </row>
    <row r="7">
      <c r="A7" s="2" t="n"/>
      <c r="B7" s="2" t="n"/>
    </row>
    <row r="8">
      <c r="A8" s="2" t="inlineStr">
        <is>
          <t>Highest-priority actions</t>
        </is>
      </c>
      <c r="B8" s="2" t="n"/>
    </row>
    <row r="9">
      <c r="A9" s="2" t="inlineStr">
        <is>
          <t>1. Use NVDA trims to fund VOO and cash reserve.</t>
        </is>
      </c>
      <c r="B9" s="2" t="n"/>
    </row>
    <row r="10">
      <c r="A10" s="2" t="inlineStr">
        <is>
          <t>2. Do not cut ONDS below 300 shares while 3 covered calls remain open.</t>
        </is>
      </c>
      <c r="B10" s="2" t="n"/>
    </row>
    <row r="11">
      <c r="A11" s="2" t="inlineStr">
        <is>
          <t>3. Hold the ONDS $20 calls for now; they are still comfortably out of the money.</t>
        </is>
      </c>
      <c r="B11" s="2" t="n"/>
    </row>
    <row r="12">
      <c r="A12" s="2" t="inlineStr">
        <is>
          <t>4. Exit SLS on strength or simplify now because it is too small to move the portfolio.</t>
        </is>
      </c>
      <c r="B12" s="2" t="n"/>
    </row>
    <row r="13">
      <c r="A13" s="2" t="n"/>
      <c r="B13" s="2" t="n"/>
    </row>
    <row r="14">
      <c r="A14" s="2" t="inlineStr">
        <is>
          <t>Not financial advice</t>
        </is>
      </c>
      <c r="B14" s="2" t="inlineStr">
        <is>
          <t>This workbook is a disciplined trade-planning tool, not a guarantee of returns.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18" customWidth="1" min="9" max="9"/>
    <col width="20" customWidth="1" min="10" max="10"/>
    <col width="18" customWidth="1" min="11" max="11"/>
    <col width="18" customWidth="1" min="12" max="12"/>
    <col width="20" customWidth="1" min="13" max="13"/>
    <col width="18" customWidth="1" min="14" max="14"/>
    <col width="64" customWidth="1" min="15" max="15"/>
  </cols>
  <sheetData>
    <row r="1">
      <c r="A1" s="1" t="inlineStr">
        <is>
          <t>Holdings Snapshot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As of Friday, March 13, 2026 U.S. market close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Ticker</t>
        </is>
      </c>
      <c r="B4" s="4" t="inlineStr">
        <is>
          <t>Name</t>
        </is>
      </c>
      <c r="C4" s="4" t="inlineStr">
        <is>
          <t>Shares</t>
        </is>
      </c>
      <c r="D4" s="4" t="inlineStr">
        <is>
          <t>Last Price</t>
        </is>
      </c>
      <c r="E4" s="4" t="inlineStr">
        <is>
          <t>Market Value</t>
        </is>
      </c>
      <c r="F4" s="4" t="inlineStr">
        <is>
          <t>Current Weight</t>
        </is>
      </c>
      <c r="G4" s="4" t="inlineStr">
        <is>
          <t>App P/L</t>
        </is>
      </c>
      <c r="H4" s="4" t="inlineStr">
        <is>
          <t>Covered Min Shares</t>
        </is>
      </c>
      <c r="I4" s="4" t="inlineStr">
        <is>
          <t>Phase 1 Target Weight</t>
        </is>
      </c>
      <c r="J4" s="4" t="inlineStr">
        <is>
          <t>Phase 1 Target Shares</t>
        </is>
      </c>
      <c r="K4" s="4" t="inlineStr">
        <is>
          <t>Phase 1 Share Delta</t>
        </is>
      </c>
      <c r="L4" s="4" t="inlineStr">
        <is>
          <t>Phase 2 Target Weight</t>
        </is>
      </c>
      <c r="M4" s="4" t="inlineStr">
        <is>
          <t>Phase 2 Target Shares</t>
        </is>
      </c>
      <c r="N4" s="4" t="inlineStr">
        <is>
          <t>Phase 2 Share Delta</t>
        </is>
      </c>
      <c r="O4" s="4" t="inlineStr">
        <is>
          <t>Note</t>
        </is>
      </c>
    </row>
    <row r="5">
      <c r="A5" s="2" t="inlineStr">
        <is>
          <t>VOO</t>
        </is>
      </c>
      <c r="B5" s="2" t="inlineStr">
        <is>
          <t>Vanguard S&amp;P 500 ETF</t>
        </is>
      </c>
      <c r="C5" s="5" t="n">
        <v>4.99</v>
      </c>
      <c r="D5" s="6" t="n">
        <v>552.75</v>
      </c>
      <c r="E5" s="6">
        <f>C5*D5</f>
        <v/>
      </c>
      <c r="F5" s="7">
        <f>E5/$E$9</f>
        <v/>
      </c>
      <c r="G5" s="6" t="n">
        <v>-83.56</v>
      </c>
      <c r="H5" s="5" t="n">
        <v>0</v>
      </c>
      <c r="I5" s="7" t="n">
        <v>0.3</v>
      </c>
      <c r="J5" s="5">
        <f>($E$9*I5)/D5</f>
        <v/>
      </c>
      <c r="K5" s="5">
        <f>J5-C5</f>
        <v/>
      </c>
      <c r="L5" s="7" t="n">
        <v>0.32</v>
      </c>
      <c r="M5" s="5">
        <f>($E$9*L5)/D5</f>
        <v/>
      </c>
      <c r="N5" s="5">
        <f>M5-C5</f>
        <v/>
      </c>
      <c r="O5" s="2" t="inlineStr">
        <is>
          <t>Accumulate on dips with trim proceeds; core holding.</t>
        </is>
      </c>
    </row>
    <row r="6">
      <c r="A6" s="2" t="inlineStr">
        <is>
          <t>ONDS</t>
        </is>
      </c>
      <c r="B6" s="2" t="inlineStr">
        <is>
          <t>Ondas Holdings</t>
        </is>
      </c>
      <c r="C6" s="5" t="n">
        <v>453.89</v>
      </c>
      <c r="D6" s="6" t="n">
        <v>10.16</v>
      </c>
      <c r="E6" s="6">
        <f>C6*D6</f>
        <v/>
      </c>
      <c r="F6" s="7">
        <f>E6/$E$9</f>
        <v/>
      </c>
      <c r="G6" s="6" t="n">
        <v>-403.19</v>
      </c>
      <c r="H6" s="5" t="n">
        <v>300</v>
      </c>
      <c r="I6" s="7" t="n">
        <v>0.22</v>
      </c>
      <c r="J6" s="5">
        <f>MAX(H6,($E$9*I6)/D6)</f>
        <v/>
      </c>
      <c r="K6" s="5">
        <f>J6-C6</f>
        <v/>
      </c>
      <c r="L6" s="7" t="n">
        <v>0.18</v>
      </c>
      <c r="M6" s="5">
        <f>($E$9*L6)/D6</f>
        <v/>
      </c>
      <c r="N6" s="5">
        <f>M6-C6</f>
        <v/>
      </c>
      <c r="O6" s="2" t="inlineStr">
        <is>
          <t>Do not go below 300 shares until covered calls are closed or rolled.</t>
        </is>
      </c>
    </row>
    <row r="7">
      <c r="A7" s="2" t="inlineStr">
        <is>
          <t>NVDA</t>
        </is>
      </c>
      <c r="B7" s="2" t="inlineStr">
        <is>
          <t>NVIDIA</t>
        </is>
      </c>
      <c r="C7" s="5" t="n">
        <v>54.26</v>
      </c>
      <c r="D7" s="6" t="n">
        <v>121.67</v>
      </c>
      <c r="E7" s="6">
        <f>C7*D7</f>
        <v/>
      </c>
      <c r="F7" s="7">
        <f>E7/$E$9</f>
        <v/>
      </c>
      <c r="G7" s="6" t="n">
        <v>46.26</v>
      </c>
      <c r="H7" s="5" t="n">
        <v>0</v>
      </c>
      <c r="I7" s="7" t="n">
        <v>0.38</v>
      </c>
      <c r="J7" s="5">
        <f>($E$9*I7)/D7</f>
        <v/>
      </c>
      <c r="K7" s="5">
        <f>J7-C7</f>
        <v/>
      </c>
      <c r="L7" s="7" t="n">
        <v>0.4</v>
      </c>
      <c r="M7" s="5">
        <f>($E$9*L7)/D7</f>
        <v/>
      </c>
      <c r="N7" s="5">
        <f>M7-C7</f>
        <v/>
      </c>
      <c r="O7" s="2" t="inlineStr">
        <is>
          <t>Best trim source because it is the largest position and still a strong core name after trimming.</t>
        </is>
      </c>
    </row>
    <row r="8">
      <c r="A8" s="2" t="inlineStr">
        <is>
          <t>SLS</t>
        </is>
      </c>
      <c r="B8" s="2" t="inlineStr">
        <is>
          <t>SELLAS Life Sciences</t>
        </is>
      </c>
      <c r="C8" s="5" t="n">
        <v>57.78</v>
      </c>
      <c r="D8" s="6" t="n">
        <v>1.75</v>
      </c>
      <c r="E8" s="6">
        <f>C8*D8</f>
        <v/>
      </c>
      <c r="F8" s="7">
        <f>E8/$E$9</f>
        <v/>
      </c>
      <c r="G8" s="6" t="n">
        <v>45.74</v>
      </c>
      <c r="H8" s="5" t="n">
        <v>0</v>
      </c>
      <c r="I8" s="7" t="n">
        <v>0</v>
      </c>
      <c r="J8" s="5">
        <f>($E$9*I8)/D8</f>
        <v/>
      </c>
      <c r="K8" s="5">
        <f>J8-C8</f>
        <v/>
      </c>
      <c r="L8" s="7" t="n">
        <v>0</v>
      </c>
      <c r="M8" s="5">
        <f>($E$9*L8)/D8</f>
        <v/>
      </c>
      <c r="N8" s="5">
        <f>M8-C8</f>
        <v/>
      </c>
      <c r="O8" s="2" t="inlineStr">
        <is>
          <t>Treat as optionality only; exit on strength or simplify now.</t>
        </is>
      </c>
    </row>
    <row r="9">
      <c r="A9" s="2" t="n"/>
      <c r="B9" s="2" t="n"/>
      <c r="C9" s="5" t="n"/>
      <c r="D9" s="6" t="inlineStr">
        <is>
          <t>Total</t>
        </is>
      </c>
      <c r="E9" s="6">
        <f>SUM(E5:E8)</f>
        <v/>
      </c>
      <c r="F9" s="7" t="n"/>
      <c r="G9" s="6" t="n"/>
      <c r="H9" s="5" t="n"/>
      <c r="I9" s="7" t="n"/>
      <c r="J9" s="5" t="n"/>
      <c r="K9" s="5" t="n"/>
      <c r="L9" s="7" t="n"/>
      <c r="M9" s="5" t="n"/>
      <c r="N9" s="5" t="n"/>
      <c r="O9" s="2" t="n"/>
    </row>
    <row r="10">
      <c r="A10" s="2" t="n"/>
      <c r="B10" s="2" t="n"/>
      <c r="C10" s="5" t="n"/>
      <c r="D10" s="6" t="inlineStr">
        <is>
          <t>Target cash</t>
        </is>
      </c>
      <c r="E10" s="6">
        <f>E9*10%</f>
        <v/>
      </c>
      <c r="F10" s="7" t="n"/>
      <c r="G10" s="6" t="n"/>
      <c r="H10" s="5" t="n"/>
      <c r="I10" s="7" t="n"/>
      <c r="J10" s="5" t="n"/>
      <c r="K10" s="5" t="n"/>
      <c r="L10" s="7" t="n"/>
      <c r="M10" s="5" t="n"/>
      <c r="N10" s="5" t="n"/>
      <c r="O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4" customWidth="1" min="14" max="14"/>
    <col width="42" customWidth="1" min="15" max="15"/>
    <col width="54" customWidth="1" min="16" max="16"/>
    <col width="48" customWidth="1" min="17" max="17"/>
  </cols>
  <sheetData>
    <row r="1">
      <c r="A1" s="1" t="inlineStr">
        <is>
          <t>ONDS Covered Call Management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ONDS spot</t>
        </is>
      </c>
      <c r="B2" s="6" t="n">
        <v>10.16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Description</t>
        </is>
      </c>
      <c r="B4" s="4" t="inlineStr">
        <is>
          <t>Expiration</t>
        </is>
      </c>
      <c r="C4" s="4" t="inlineStr">
        <is>
          <t>Contracts</t>
        </is>
      </c>
      <c r="D4" s="4" t="inlineStr">
        <is>
          <t>Strike</t>
        </is>
      </c>
      <c r="E4" s="4" t="inlineStr">
        <is>
          <t>Bid</t>
        </is>
      </c>
      <c r="F4" s="4" t="inlineStr">
        <is>
          <t>Ask</t>
        </is>
      </c>
      <c r="G4" s="4" t="inlineStr">
        <is>
          <t>Mid</t>
        </is>
      </c>
      <c r="H4" s="4" t="inlineStr">
        <is>
          <t>Last</t>
        </is>
      </c>
      <c r="I4" s="4" t="inlineStr">
        <is>
          <t>Delta</t>
        </is>
      </c>
      <c r="J4" s="4" t="inlineStr">
        <is>
          <t>IV</t>
        </is>
      </c>
      <c r="K4" s="4" t="inlineStr">
        <is>
          <t>Open Interest</t>
        </is>
      </c>
      <c r="L4" s="4" t="inlineStr">
        <is>
          <t>Volume</t>
        </is>
      </c>
      <c r="M4" s="4" t="inlineStr">
        <is>
          <t>App P/L</t>
        </is>
      </c>
      <c r="N4" s="4" t="inlineStr">
        <is>
          <t>Buyback Cost</t>
        </is>
      </c>
      <c r="O4" s="4" t="inlineStr">
        <is>
          <t>Action Now</t>
        </is>
      </c>
      <c r="P4" s="4" t="inlineStr">
        <is>
          <t>Buyback Trigger</t>
        </is>
      </c>
      <c r="Q4" s="4" t="inlineStr">
        <is>
          <t>Roll Trigger</t>
        </is>
      </c>
    </row>
    <row r="5">
      <c r="A5" s="2" t="inlineStr">
        <is>
          <t>ONDS $20 Call</t>
        </is>
      </c>
      <c r="B5" s="2" t="inlineStr">
        <is>
          <t>2026-06-18</t>
        </is>
      </c>
      <c r="C5" s="2" t="n">
        <v>-1</v>
      </c>
      <c r="D5" s="6" t="n">
        <v>20</v>
      </c>
      <c r="E5" s="6" t="n">
        <v>0.5</v>
      </c>
      <c r="F5" s="6" t="n">
        <v>0.54</v>
      </c>
      <c r="G5" s="6" t="n">
        <v>0.52</v>
      </c>
      <c r="H5" s="6" t="n">
        <v>0.52</v>
      </c>
      <c r="I5" s="7" t="n">
        <v>0.2004</v>
      </c>
      <c r="J5" s="7" t="n">
        <v>1.1475</v>
      </c>
      <c r="K5" s="2" t="n">
        <v>17190</v>
      </c>
      <c r="L5" s="2" t="n">
        <v>828</v>
      </c>
      <c r="M5" s="6" t="n">
        <v>141</v>
      </c>
      <c r="N5" s="6">
        <f>ABS(C5)*G5*100</f>
        <v/>
      </c>
      <c r="O5" s="2" t="inlineStr">
        <is>
          <t>Hold. Strike is 96.9% above spot and premium left is still meaningful.</t>
        </is>
      </c>
      <c r="P5" s="2" t="inlineStr">
        <is>
          <t>Buy back if mark &lt;= $0.12 and you want to reopen upside with a higher strike.</t>
        </is>
      </c>
      <c r="Q5" s="2" t="inlineStr">
        <is>
          <t>Roll up/out if ONDS closes above $14 or call delta rises above 0.35.</t>
        </is>
      </c>
    </row>
    <row r="6">
      <c r="A6" s="2" t="inlineStr">
        <is>
          <t>ONDS $20 Call</t>
        </is>
      </c>
      <c r="B6" s="2" t="inlineStr">
        <is>
          <t>2026-09-18</t>
        </is>
      </c>
      <c r="C6" s="2" t="n">
        <v>-2</v>
      </c>
      <c r="D6" s="6" t="n">
        <v>20</v>
      </c>
      <c r="E6" s="6" t="n">
        <v>1.13</v>
      </c>
      <c r="F6" s="6" t="n">
        <v>1.27</v>
      </c>
      <c r="G6" s="6" t="n">
        <v>1.2</v>
      </c>
      <c r="H6" s="6" t="n">
        <v>1.18</v>
      </c>
      <c r="I6" s="7" t="n">
        <v>0.3264</v>
      </c>
      <c r="J6" s="7" t="n">
        <v>1.0908</v>
      </c>
      <c r="K6" s="2" t="n">
        <v>4065</v>
      </c>
      <c r="L6" s="2" t="n">
        <v>229</v>
      </c>
      <c r="M6" s="6" t="n">
        <v>117</v>
      </c>
      <c r="N6" s="6">
        <f>ABS(C6)*G6*100</f>
        <v/>
      </c>
      <c r="O6" s="2" t="inlineStr">
        <is>
          <t>Hold. Upside is capped only above $20 on 200 shares, not near current price.</t>
        </is>
      </c>
      <c r="P6" s="2" t="inlineStr">
        <is>
          <t>Only buy back early if you expect a major upside break before expiration or the mark falls below $0.25.</t>
        </is>
      </c>
      <c r="Q6" s="2" t="inlineStr">
        <is>
          <t>Roll if ONDS closes above $15 or call delta rises above 0.45.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Combined estimated buyback cost now</t>
        </is>
      </c>
      <c r="B8" s="6">
        <f>SUM(N5:N6)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Why this matters</t>
        </is>
      </c>
      <c r="B9" s="2" t="inlineStr">
        <is>
          <t>Closing all 3 calls would cost roughly $292 at mid prices, so early buybacks should be catalyst-driven, not automatic.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  <col width="12" customWidth="1" min="5" max="5"/>
    <col width="72" customWidth="1" min="6" max="6"/>
  </cols>
  <sheetData>
    <row r="1">
      <c r="A1" s="1" t="inlineStr">
        <is>
          <t>Trim And Buy Ladder</t>
        </is>
      </c>
      <c r="B1" s="2" t="n"/>
      <c r="C1" s="2" t="n"/>
      <c r="D1" s="2" t="n"/>
      <c r="E1" s="2" t="n"/>
      <c r="F1" s="2" t="n"/>
    </row>
    <row r="2">
      <c r="A2" s="3" t="inlineStr">
        <is>
          <t>Use limit orders and avoid chasing.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Asset</t>
        </is>
      </c>
      <c r="B4" s="4" t="inlineStr">
        <is>
          <t>Setup</t>
        </is>
      </c>
      <c r="C4" s="4" t="inlineStr">
        <is>
          <t>Trigger</t>
        </is>
      </c>
      <c r="D4" s="4" t="inlineStr">
        <is>
          <t>Action</t>
        </is>
      </c>
      <c r="E4" s="4" t="inlineStr">
        <is>
          <t>Quantity</t>
        </is>
      </c>
      <c r="F4" s="4" t="inlineStr">
        <is>
          <t>Reason</t>
        </is>
      </c>
    </row>
    <row r="5">
      <c r="A5" s="2" t="inlineStr">
        <is>
          <t>NVDA</t>
        </is>
      </c>
      <c r="B5" s="2" t="inlineStr">
        <is>
          <t>Now</t>
        </is>
      </c>
      <c r="C5" s="2" t="inlineStr">
        <is>
          <t>121.67</t>
        </is>
      </c>
      <c r="D5" s="2" t="inlineStr">
        <is>
          <t>Trim</t>
        </is>
      </c>
      <c r="E5" s="2" t="n">
        <v>5</v>
      </c>
      <c r="F5" s="2" t="inlineStr">
        <is>
          <t>Reduce single-name concentration without exiting the winner.</t>
        </is>
      </c>
    </row>
    <row r="6">
      <c r="A6" s="2" t="inlineStr">
        <is>
          <t>NVDA</t>
        </is>
      </c>
      <c r="B6" s="2" t="inlineStr">
        <is>
          <t>Strength</t>
        </is>
      </c>
      <c r="C6" s="2" t="inlineStr">
        <is>
          <t>130.00</t>
        </is>
      </c>
      <c r="D6" s="2" t="inlineStr">
        <is>
          <t>Trim</t>
        </is>
      </c>
      <c r="E6" s="2" t="n">
        <v>5</v>
      </c>
      <c r="F6" s="2" t="inlineStr">
        <is>
          <t>Bring NVDA closer to 40% target if momentum continues.</t>
        </is>
      </c>
    </row>
    <row r="7">
      <c r="A7" s="2" t="inlineStr">
        <is>
          <t>NVDA</t>
        </is>
      </c>
      <c r="B7" s="2" t="inlineStr">
        <is>
          <t>Stretch</t>
        </is>
      </c>
      <c r="C7" s="2" t="inlineStr">
        <is>
          <t>140.00</t>
        </is>
      </c>
      <c r="D7" s="2" t="inlineStr">
        <is>
          <t>Trim</t>
        </is>
      </c>
      <c r="E7" s="2" t="n">
        <v>5</v>
      </c>
      <c r="F7" s="2" t="inlineStr">
        <is>
          <t>Only if still overweight after prior trims.</t>
        </is>
      </c>
    </row>
    <row r="8">
      <c r="A8" s="2" t="inlineStr">
        <is>
          <t>ONDS</t>
        </is>
      </c>
      <c r="B8" s="2" t="inlineStr">
        <is>
          <t>Pre/Post earnings spike</t>
        </is>
      </c>
      <c r="C8" s="2" t="inlineStr">
        <is>
          <t>11.50</t>
        </is>
      </c>
      <c r="D8" s="2" t="inlineStr">
        <is>
          <t>Trim uncovered shares</t>
        </is>
      </c>
      <c r="E8" s="2" t="n">
        <v>53.89</v>
      </c>
      <c r="F8" s="2" t="inlineStr">
        <is>
          <t>Sell only the uncovered block first; preserve 300 shares for short calls.</t>
        </is>
      </c>
    </row>
    <row r="9">
      <c r="A9" s="2" t="inlineStr">
        <is>
          <t>ONDS</t>
        </is>
      </c>
      <c r="B9" s="2" t="inlineStr">
        <is>
          <t>Strength</t>
        </is>
      </c>
      <c r="C9" s="2" t="inlineStr">
        <is>
          <t>13.50</t>
        </is>
      </c>
      <c r="D9" s="2" t="inlineStr">
        <is>
          <t>Trim uncovered shares</t>
        </is>
      </c>
      <c r="E9" s="2" t="n">
        <v>50</v>
      </c>
      <c r="F9" s="2" t="inlineStr">
        <is>
          <t>Take risk off into volatility rather than waiting for a full reversal.</t>
        </is>
      </c>
    </row>
    <row r="10">
      <c r="A10" s="2" t="inlineStr">
        <is>
          <t>ONDS</t>
        </is>
      </c>
      <c r="B10" s="2" t="inlineStr">
        <is>
          <t>Strength</t>
        </is>
      </c>
      <c r="C10" s="2" t="inlineStr">
        <is>
          <t>15.00</t>
        </is>
      </c>
      <c r="D10" s="2" t="inlineStr">
        <is>
          <t>Trim uncovered shares</t>
        </is>
      </c>
      <c r="E10" s="2" t="n">
        <v>50</v>
      </c>
      <c r="F10" s="2" t="inlineStr">
        <is>
          <t>Finish Phase 1 de-risking if price momentum remains constructive.</t>
        </is>
      </c>
    </row>
    <row r="11">
      <c r="A11" s="2" t="inlineStr">
        <is>
          <t>ONDS 06/18/26 $20C</t>
        </is>
      </c>
      <c r="B11" s="2" t="inlineStr">
        <is>
          <t>Decay</t>
        </is>
      </c>
      <c r="C11" s="2" t="inlineStr">
        <is>
          <t>0.12 premium</t>
        </is>
      </c>
      <c r="D11" s="2" t="inlineStr">
        <is>
          <t>Buy back</t>
        </is>
      </c>
      <c r="E11" s="2" t="n">
        <v>1</v>
      </c>
      <c r="F11" s="2" t="inlineStr">
        <is>
          <t>Close if almost all premium is gone and you want to rewrite at a better strike.</t>
        </is>
      </c>
    </row>
    <row r="12">
      <c r="A12" s="2" t="inlineStr">
        <is>
          <t>ONDS 09/18/26 $20C</t>
        </is>
      </c>
      <c r="B12" s="2" t="inlineStr">
        <is>
          <t>Breakout</t>
        </is>
      </c>
      <c r="C12" s="2" t="inlineStr">
        <is>
          <t>0.45 delta</t>
        </is>
      </c>
      <c r="D12" s="2" t="inlineStr">
        <is>
          <t>Roll</t>
        </is>
      </c>
      <c r="E12" s="2" t="n">
        <v>2</v>
      </c>
      <c r="F12" s="2" t="inlineStr">
        <is>
          <t>Protect upside if ONDS starts trending materially higher.</t>
        </is>
      </c>
    </row>
    <row r="13">
      <c r="A13" s="2" t="inlineStr">
        <is>
          <t>VOO</t>
        </is>
      </c>
      <c r="B13" s="2" t="inlineStr">
        <is>
          <t>Buy on dip</t>
        </is>
      </c>
      <c r="C13" s="2" t="inlineStr">
        <is>
          <t>545.00</t>
        </is>
      </c>
      <c r="D13" s="2" t="inlineStr">
        <is>
          <t>Buy</t>
        </is>
      </c>
      <c r="E13" s="2" t="n">
        <v>1</v>
      </c>
      <c r="F13" s="2" t="inlineStr">
        <is>
          <t>Deploy trim proceeds into the core index position on weakness.</t>
        </is>
      </c>
    </row>
    <row r="14">
      <c r="A14" s="2" t="inlineStr">
        <is>
          <t>VOO</t>
        </is>
      </c>
      <c r="B14" s="2" t="inlineStr">
        <is>
          <t>Buy on deeper dip</t>
        </is>
      </c>
      <c r="C14" s="2" t="inlineStr">
        <is>
          <t>530.00</t>
        </is>
      </c>
      <c r="D14" s="2" t="inlineStr">
        <is>
          <t>Buy</t>
        </is>
      </c>
      <c r="E14" s="2" t="n">
        <v>1</v>
      </c>
      <c r="F14" s="2" t="inlineStr">
        <is>
          <t>Scale in rather than chase strength.</t>
        </is>
      </c>
    </row>
    <row r="15">
      <c r="A15" s="2" t="inlineStr">
        <is>
          <t>SLS</t>
        </is>
      </c>
      <c r="B15" s="2" t="inlineStr">
        <is>
          <t>Simplify</t>
        </is>
      </c>
      <c r="C15" s="2" t="inlineStr">
        <is>
          <t>2.25</t>
        </is>
      </c>
      <c r="D15" s="2" t="inlineStr">
        <is>
          <t>Exit</t>
        </is>
      </c>
      <c r="E15" s="2" t="n">
        <v>57.78</v>
      </c>
      <c r="F15" s="2" t="inlineStr">
        <is>
          <t>Use liquidity pops to fully exit the small biotech flyer.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  <col width="72" customWidth="1" min="3" max="3"/>
  </cols>
  <sheetData>
    <row r="1">
      <c r="A1" s="1" t="inlineStr">
        <is>
          <t>Sources</t>
        </is>
      </c>
      <c r="B1" s="2" t="n"/>
      <c r="C1" s="2" t="n"/>
    </row>
    <row r="2">
      <c r="A2" s="3" t="inlineStr">
        <is>
          <t>URLs included so you can refresh the workbook later.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Type</t>
        </is>
      </c>
      <c r="B4" s="4" t="inlineStr">
        <is>
          <t>URL</t>
        </is>
      </c>
      <c r="C4" s="4" t="inlineStr">
        <is>
          <t>Note</t>
        </is>
      </c>
    </row>
    <row r="5">
      <c r="A5" s="2" t="inlineStr">
        <is>
          <t>Current prices</t>
        </is>
      </c>
      <c r="B5" s="2" t="inlineStr">
        <is>
          <t>https://finance.yahoo.com</t>
        </is>
      </c>
      <c r="C5" s="2" t="inlineStr">
        <is>
          <t>Prices used in workbook: VOO 552.75, ONDS 10.16, NVDA 121.67, SLS 1.75.</t>
        </is>
      </c>
    </row>
    <row r="6">
      <c r="A6" s="2" t="inlineStr">
        <is>
          <t>ONDS official release</t>
        </is>
      </c>
      <c r="B6" s="2" t="inlineStr">
        <is>
          <t>https://ir.ondas.com/news-events/press-releases/detail/312/ondas-holdings-reports-fourth-quarter-and-full-year-2025-financial-results</t>
        </is>
      </c>
      <c r="C6" s="2" t="inlineStr">
        <is>
          <t>Ondas reported Q4 2025 and full-year 2025 results on March 12, 2026.</t>
        </is>
      </c>
    </row>
    <row r="7">
      <c r="A7" s="2" t="inlineStr">
        <is>
          <t>SLS official release</t>
        </is>
      </c>
      <c r="B7" s="2" t="inlineStr">
        <is>
          <t>https://www.sellaslifesciences.com/investors/news/News-Details/2026/SELLAS-Life-Sciences-Reports-Fourth-Quarter-and-Full-Year-2025-Financial-Results-and-Provides-Corporate-Update/default.aspx</t>
        </is>
      </c>
      <c r="C7" s="2" t="inlineStr">
        <is>
          <t>SELLAS reported Q4/full-year 2025 results and corporate update on March 12, 2026.</t>
        </is>
      </c>
    </row>
    <row r="8">
      <c r="A8" s="2" t="inlineStr">
        <is>
          <t>ONDS options chain</t>
        </is>
      </c>
      <c r="B8" s="2" t="inlineStr">
        <is>
          <t>https://www.barchart.com/stocks/quotes/ONDS/options?expiration=2026-06-18</t>
        </is>
      </c>
      <c r="C8" s="2" t="inlineStr">
        <is>
          <t>June 18, 2026 $20 call midpoint approximately $0.52 on March 13, 2026.</t>
        </is>
      </c>
    </row>
    <row r="9">
      <c r="A9" s="2" t="inlineStr">
        <is>
          <t>ONDS options chain</t>
        </is>
      </c>
      <c r="B9" s="2" t="inlineStr">
        <is>
          <t>https://www.barchart.com/stocks/quotes/ONDS/options?expiration=2026-09-18</t>
        </is>
      </c>
      <c r="C9" s="2" t="inlineStr">
        <is>
          <t>September 18, 2026 $20 call midpoint approximately $1.20 on March 13,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2026-03-15T18:57:01Z</dcterms:created>
  <dcterms:modified xsi:type="dcterms:W3CDTF">2026-03-15T18:57:01Z</dcterms:modified>
</cp:coreProperties>
</file>